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iitm9\Documents\Personal\MOSartLabs\Research\Cell_Model\"/>
    </mc:Choice>
  </mc:AlternateContent>
  <xr:revisionPtr revIDLastSave="0" documentId="13_ncr:1_{17EF609E-0026-427B-B7EC-662514D26A8B}" xr6:coauthVersionLast="47" xr6:coauthVersionMax="47" xr10:uidLastSave="{00000000-0000-0000-0000-000000000000}"/>
  <bookViews>
    <workbookView xWindow="31140" yWindow="-2235" windowWidth="28095" windowHeight="17550" activeTab="1" xr2:uid="{85E5FABD-E617-4B06-A38B-56850451A89A}"/>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2" i="2" l="1"/>
  <c r="M22" i="2"/>
  <c r="N29" i="2"/>
  <c r="N28" i="2"/>
  <c r="L29" i="2"/>
  <c r="L28" i="2"/>
  <c r="L27" i="2"/>
  <c r="E25" i="2" l="1"/>
  <c r="D25" i="2"/>
  <c r="C25" i="2"/>
  <c r="B25" i="2"/>
  <c r="E21" i="2"/>
  <c r="D21" i="2"/>
  <c r="C21" i="2"/>
  <c r="B21" i="2"/>
  <c r="F20" i="2"/>
  <c r="E20" i="2"/>
  <c r="D20" i="2"/>
  <c r="C20" i="2"/>
  <c r="B20" i="2"/>
  <c r="B6" i="2"/>
  <c r="E17" i="2"/>
  <c r="D17" i="2"/>
  <c r="C17" i="2"/>
  <c r="B17" i="2"/>
  <c r="E14" i="2"/>
  <c r="D14" i="2"/>
  <c r="C14" i="2"/>
  <c r="B14" i="2"/>
  <c r="F15" i="2"/>
  <c r="B16" i="2" s="1"/>
  <c r="E15" i="2"/>
  <c r="D15" i="2"/>
  <c r="C15" i="2"/>
  <c r="B15" i="2"/>
  <c r="E9" i="2"/>
  <c r="D9" i="2"/>
  <c r="C9" i="2"/>
  <c r="B9" i="2"/>
  <c r="F9" i="2" s="1"/>
  <c r="E5" i="2"/>
  <c r="D5" i="2"/>
  <c r="C5" i="2"/>
  <c r="B5" i="2"/>
  <c r="F5" i="2" s="1"/>
  <c r="E6" i="2" s="1"/>
  <c r="B27" i="1"/>
  <c r="B28" i="1"/>
  <c r="B29" i="1"/>
  <c r="B30" i="1"/>
  <c r="B31" i="1"/>
  <c r="B26" i="1"/>
  <c r="D25" i="1"/>
  <c r="C17" i="1"/>
  <c r="C16" i="1"/>
  <c r="C15" i="1"/>
  <c r="B17" i="1"/>
  <c r="B16" i="1"/>
  <c r="B15" i="1"/>
  <c r="E10" i="1"/>
  <c r="E7" i="1"/>
  <c r="D7" i="1"/>
  <c r="D8" i="1" s="1"/>
  <c r="C7" i="1"/>
  <c r="C8" i="1" s="1"/>
  <c r="F5" i="1"/>
  <c r="E8" i="1"/>
  <c r="E5" i="1"/>
  <c r="D5" i="1"/>
  <c r="C5" i="1"/>
  <c r="H5" i="1" s="1"/>
  <c r="E10" i="2" l="1"/>
  <c r="C16" i="2"/>
  <c r="D16" i="2"/>
  <c r="E16" i="2"/>
  <c r="B10" i="2"/>
  <c r="C10" i="2"/>
  <c r="D10" i="2"/>
  <c r="D6" i="2"/>
  <c r="C6" i="2"/>
  <c r="D10" i="1"/>
  <c r="C10" i="1"/>
  <c r="G5" i="1"/>
  <c r="F8" i="1"/>
  <c r="G8" i="1"/>
  <c r="G10" i="1" l="1"/>
  <c r="E12" i="1" s="1"/>
  <c r="F10" i="1"/>
  <c r="D12" i="1"/>
  <c r="C12" i="1" l="1"/>
</calcChain>
</file>

<file path=xl/sharedStrings.xml><?xml version="1.0" encoding="utf-8"?>
<sst xmlns="http://schemas.openxmlformats.org/spreadsheetml/2006/main" count="44" uniqueCount="41">
  <si>
    <t>SoH</t>
  </si>
  <si>
    <t>CE</t>
  </si>
  <si>
    <t>Discharge capacity</t>
  </si>
  <si>
    <t>After 80% discharge</t>
  </si>
  <si>
    <t>Delta to full</t>
  </si>
  <si>
    <t>Strategy-1 (Max range)</t>
  </si>
  <si>
    <t>always charge all cells to Max capacity, equally</t>
  </si>
  <si>
    <t>Min charge when first cell will reach 100% SoC capacity</t>
  </si>
  <si>
    <t>Balancing current percentage</t>
  </si>
  <si>
    <t>75AH battery</t>
  </si>
  <si>
    <t>1C</t>
  </si>
  <si>
    <t>0.2C</t>
  </si>
  <si>
    <t>0.1C</t>
  </si>
  <si>
    <t>IF required balancing current exceeds mx balancing current, then use max, but cut the charging when the first cell reaches Max SoC.</t>
  </si>
  <si>
    <t>We now work with lower range but no other issues</t>
  </si>
  <si>
    <t>Once balanced, we are basically only balancing every cycle for coulombic effeciency differences.</t>
  </si>
  <si>
    <t>Based on the total power dissipation, max current per branch, figure out total branches that can run in parallel.</t>
  </si>
  <si>
    <t xml:space="preserve">Example, Rdson=1.5ohm, I max is 300mA, PowerMax is 1W, then Nmax is 1W/(1.5ohm*(300mA)^2) or 7.4 </t>
  </si>
  <si>
    <t>Based on total balancing current required, sum of balancing current per cell; Say Ibalance_total is I0</t>
  </si>
  <si>
    <t>I0</t>
  </si>
  <si>
    <t>N=7.4@0.3A=2.2A</t>
  </si>
  <si>
    <t>Balancing current % of requirement</t>
  </si>
  <si>
    <t>SoC</t>
  </si>
  <si>
    <t>Coulomb Eff.</t>
  </si>
  <si>
    <t>Imbalance</t>
  </si>
  <si>
    <t>The delta charge, after which equal charge will take them to 100% SoC</t>
  </si>
  <si>
    <t>Chage to 100% SoC</t>
  </si>
  <si>
    <t>Capacity (AH)</t>
  </si>
  <si>
    <t>Centering the strong cells around 50%</t>
  </si>
  <si>
    <t>discharge capacity</t>
  </si>
  <si>
    <t>Target full</t>
  </si>
  <si>
    <t>SoC post discharge 40AH</t>
  </si>
  <si>
    <t>Charge capacity</t>
  </si>
  <si>
    <t>charge to target SoCMax</t>
  </si>
  <si>
    <t>Charge delta/Max charge</t>
  </si>
  <si>
    <t>Centering Strong cells to have 2% SoC, when the weakest cell is at 0</t>
  </si>
  <si>
    <t>Target SoCmax</t>
  </si>
  <si>
    <t>Justification is that we do not usually go all the way to 100 DoD of the weakest cell. So without compromising max range we are protecting the stronger cells from SoCmax related degradation</t>
  </si>
  <si>
    <t>This is our error margin</t>
  </si>
  <si>
    <t>Total</t>
  </si>
  <si>
    <t>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</si>
</sst>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applyFill="1"/>
    <xf numFmtId="0" fontId="0" fillId="0" borderId="0" xfId="0" applyAlignment="1">
      <alignment wrapText="1"/>
    </xf>
    <xf numFmtId="9" fontId="0" fillId="0" borderId="0" xfId="1" applyFont="1"/>
    <xf numFmtId="0" fontId="0" fillId="2" borderId="0" xfId="0" applyFill="1"/>
    <xf numFmtId="164" fontId="0" fillId="0" borderId="0" xfId="1" applyNumberFormat="1" applyFont="1"/>
    <xf numFmtId="10"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895527045133345E-2"/>
          <c:y val="0.18560185185185185"/>
          <c:w val="0.93888888888888888"/>
          <c:h val="0.62108705161854771"/>
        </c:manualLayout>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Sheet2!$M$21:$N$21</c:f>
              <c:strCache>
                <c:ptCount val="2"/>
                <c:pt idx="0">
                  <c:v>Total</c:v>
                </c:pt>
                <c:pt idx="1">
                  <c:v>EV</c:v>
                </c:pt>
              </c:strCache>
            </c:strRef>
          </c:cat>
          <c:val>
            <c:numRef>
              <c:f>Sheet2!$M$22:$N$22</c:f>
              <c:numCache>
                <c:formatCode>General</c:formatCode>
                <c:ptCount val="2"/>
                <c:pt idx="0">
                  <c:v>77</c:v>
                </c:pt>
                <c:pt idx="1">
                  <c:v>13.86</c:v>
                </c:pt>
              </c:numCache>
            </c:numRef>
          </c:val>
          <c:extLst>
            <c:ext xmlns:c16="http://schemas.microsoft.com/office/drawing/2014/chart" uri="{C3380CC4-5D6E-409C-BE32-E72D297353CC}">
              <c16:uniqueId val="{00000000-E466-48DD-BAF1-46B2414444E6}"/>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0.31417122307928824"/>
          <c:y val="4.2244823563721161E-2"/>
          <c:w val="0.32461799660441426"/>
          <c:h val="0.12849628171478567"/>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167639</xdr:colOff>
      <xdr:row>15</xdr:row>
      <xdr:rowOff>92392</xdr:rowOff>
    </xdr:from>
    <xdr:to>
      <xdr:col>14</xdr:col>
      <xdr:colOff>390524</xdr:colOff>
      <xdr:row>26</xdr:row>
      <xdr:rowOff>663892</xdr:rowOff>
    </xdr:to>
    <xdr:graphicFrame macro="">
      <xdr:nvGraphicFramePr>
        <xdr:cNvPr id="2" name="Chart 1">
          <a:extLst>
            <a:ext uri="{FF2B5EF4-FFF2-40B4-BE49-F238E27FC236}">
              <a16:creationId xmlns:a16="http://schemas.microsoft.com/office/drawing/2014/main" id="{B2D5CC75-9715-5FEE-B1E3-2D269BFB1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3A1A-1D82-412F-ADCF-A526F7AB944C}">
  <dimension ref="A2:I31"/>
  <sheetViews>
    <sheetView workbookViewId="0">
      <selection activeCell="A11" sqref="A11"/>
    </sheetView>
  </sheetViews>
  <sheetFormatPr defaultRowHeight="14.4" x14ac:dyDescent="0.3"/>
  <cols>
    <col min="1" max="1" width="40.44140625" style="2" customWidth="1"/>
    <col min="2" max="2" width="20.6640625" customWidth="1"/>
  </cols>
  <sheetData>
    <row r="2" spans="1:8" x14ac:dyDescent="0.3">
      <c r="C2">
        <v>1</v>
      </c>
      <c r="D2">
        <v>2</v>
      </c>
      <c r="E2">
        <v>3</v>
      </c>
    </row>
    <row r="3" spans="1:8" x14ac:dyDescent="0.3">
      <c r="A3" s="2" t="s">
        <v>0</v>
      </c>
      <c r="C3">
        <v>95</v>
      </c>
      <c r="D3">
        <v>98</v>
      </c>
      <c r="E3">
        <v>96</v>
      </c>
    </row>
    <row r="4" spans="1:8" x14ac:dyDescent="0.3">
      <c r="A4" s="2" t="s">
        <v>1</v>
      </c>
      <c r="C4">
        <v>95</v>
      </c>
      <c r="D4">
        <v>95</v>
      </c>
      <c r="E4">
        <v>90</v>
      </c>
    </row>
    <row r="5" spans="1:8" x14ac:dyDescent="0.3">
      <c r="A5" s="2" t="s">
        <v>2</v>
      </c>
      <c r="C5">
        <f>C3*C4/100</f>
        <v>90.25</v>
      </c>
      <c r="D5">
        <f t="shared" ref="D5:E5" si="0">D3*D4/100</f>
        <v>93.1</v>
      </c>
      <c r="E5">
        <f t="shared" si="0"/>
        <v>86.4</v>
      </c>
      <c r="F5">
        <f>MEDIAN(C5:E5)</f>
        <v>90.25</v>
      </c>
      <c r="G5">
        <f>MAX(C5:E5)</f>
        <v>93.1</v>
      </c>
      <c r="H5">
        <f>MIN(C5:E5)</f>
        <v>86.4</v>
      </c>
    </row>
    <row r="7" spans="1:8" x14ac:dyDescent="0.3">
      <c r="A7" s="2" t="s">
        <v>3</v>
      </c>
      <c r="C7">
        <f>C3-80*(100/C4)</f>
        <v>10.789473684210535</v>
      </c>
      <c r="D7">
        <f t="shared" ref="D7:E7" si="1">D3-80*(100/D4)</f>
        <v>13.789473684210535</v>
      </c>
      <c r="E7">
        <f t="shared" si="1"/>
        <v>7.1111111111111143</v>
      </c>
    </row>
    <row r="8" spans="1:8" x14ac:dyDescent="0.3">
      <c r="A8" s="2" t="s">
        <v>4</v>
      </c>
      <c r="C8">
        <f>C3-C7</f>
        <v>84.210526315789465</v>
      </c>
      <c r="D8">
        <f t="shared" ref="D8:E8" si="2">D3-D7</f>
        <v>84.210526315789465</v>
      </c>
      <c r="E8">
        <f t="shared" si="2"/>
        <v>88.888888888888886</v>
      </c>
      <c r="F8">
        <f>MEDIAN(C8:E8)</f>
        <v>84.210526315789465</v>
      </c>
      <c r="G8">
        <f>MAX(C8:E8)</f>
        <v>88.888888888888886</v>
      </c>
    </row>
    <row r="10" spans="1:8" x14ac:dyDescent="0.3">
      <c r="C10">
        <f>C3-C7</f>
        <v>84.210526315789465</v>
      </c>
      <c r="D10">
        <f>D3-D7</f>
        <v>84.210526315789465</v>
      </c>
      <c r="E10">
        <f>E3-E7</f>
        <v>88.888888888888886</v>
      </c>
      <c r="F10">
        <f>MIN(C10:E10)</f>
        <v>84.210526315789465</v>
      </c>
      <c r="G10">
        <f>MAX(C10:E10)</f>
        <v>88.888888888888886</v>
      </c>
      <c r="H10" t="s">
        <v>7</v>
      </c>
    </row>
    <row r="11" spans="1:8" x14ac:dyDescent="0.3">
      <c r="A11" s="2" t="s">
        <v>5</v>
      </c>
      <c r="H11" t="s">
        <v>6</v>
      </c>
    </row>
    <row r="12" spans="1:8" x14ac:dyDescent="0.3">
      <c r="A12" s="2" t="s">
        <v>8</v>
      </c>
      <c r="C12">
        <f>1-C10/$G10</f>
        <v>5.2631578947368474E-2</v>
      </c>
      <c r="D12">
        <f t="shared" ref="D12:E12" si="3">1-D10/$G10</f>
        <v>5.2631578947368474E-2</v>
      </c>
      <c r="E12">
        <f t="shared" si="3"/>
        <v>0</v>
      </c>
    </row>
    <row r="14" spans="1:8" x14ac:dyDescent="0.3">
      <c r="A14" s="2" t="s">
        <v>9</v>
      </c>
      <c r="B14">
        <v>75</v>
      </c>
    </row>
    <row r="15" spans="1:8" x14ac:dyDescent="0.3">
      <c r="A15" s="2" t="s">
        <v>10</v>
      </c>
      <c r="B15">
        <f>B14</f>
        <v>75</v>
      </c>
      <c r="C15">
        <f>C12*B15</f>
        <v>3.9473684210526354</v>
      </c>
    </row>
    <row r="16" spans="1:8" x14ac:dyDescent="0.3">
      <c r="A16" s="2" t="s">
        <v>11</v>
      </c>
      <c r="B16">
        <f>0.2*B14</f>
        <v>15</v>
      </c>
      <c r="C16">
        <f>C12*B16</f>
        <v>0.7894736842105271</v>
      </c>
    </row>
    <row r="17" spans="1:9" x14ac:dyDescent="0.3">
      <c r="A17" s="2" t="s">
        <v>12</v>
      </c>
      <c r="B17">
        <f>0.1*B14</f>
        <v>7.5</v>
      </c>
      <c r="C17">
        <f>C12*B17</f>
        <v>0.39473684210526355</v>
      </c>
    </row>
    <row r="19" spans="1:9" ht="43.2" x14ac:dyDescent="0.3">
      <c r="A19" s="2" t="s">
        <v>13</v>
      </c>
    </row>
    <row r="20" spans="1:9" ht="28.8" x14ac:dyDescent="0.3">
      <c r="A20" s="2" t="s">
        <v>14</v>
      </c>
    </row>
    <row r="21" spans="1:9" ht="43.2" x14ac:dyDescent="0.3">
      <c r="A21" s="2" t="s">
        <v>15</v>
      </c>
    </row>
    <row r="22" spans="1:9" ht="43.2" x14ac:dyDescent="0.3">
      <c r="A22" s="2" t="s">
        <v>16</v>
      </c>
    </row>
    <row r="23" spans="1:9" ht="43.2" x14ac:dyDescent="0.3">
      <c r="A23" s="2" t="s">
        <v>17</v>
      </c>
    </row>
    <row r="24" spans="1:9" ht="43.2" x14ac:dyDescent="0.3">
      <c r="A24" s="2" t="s">
        <v>18</v>
      </c>
      <c r="I24" s="1" t="s">
        <v>20</v>
      </c>
    </row>
    <row r="25" spans="1:9" ht="28.8" x14ac:dyDescent="0.3">
      <c r="A25" s="2" t="s">
        <v>19</v>
      </c>
      <c r="B25" s="2" t="s">
        <v>21</v>
      </c>
      <c r="D25">
        <f>7.4*0.3</f>
        <v>2.2200000000000002</v>
      </c>
    </row>
    <row r="26" spans="1:9" x14ac:dyDescent="0.3">
      <c r="A26" s="2">
        <v>1</v>
      </c>
      <c r="B26" s="3">
        <f>IF(A26&lt;=$D$25,100%,($D$25/A26))</f>
        <v>1</v>
      </c>
    </row>
    <row r="27" spans="1:9" x14ac:dyDescent="0.3">
      <c r="A27" s="2">
        <v>1.5</v>
      </c>
      <c r="B27" s="3">
        <f t="shared" ref="B27:B31" si="4">IF(A27&lt;=$D$25,100%,($D$25/A27))</f>
        <v>1</v>
      </c>
    </row>
    <row r="28" spans="1:9" x14ac:dyDescent="0.3">
      <c r="A28" s="2">
        <v>2</v>
      </c>
      <c r="B28" s="3">
        <f t="shared" si="4"/>
        <v>1</v>
      </c>
    </row>
    <row r="29" spans="1:9" x14ac:dyDescent="0.3">
      <c r="A29" s="2">
        <v>2.5</v>
      </c>
      <c r="B29" s="3">
        <f t="shared" si="4"/>
        <v>0.88800000000000012</v>
      </c>
    </row>
    <row r="30" spans="1:9" x14ac:dyDescent="0.3">
      <c r="A30" s="2">
        <v>3</v>
      </c>
      <c r="B30" s="3">
        <f t="shared" si="4"/>
        <v>0.7400000000000001</v>
      </c>
    </row>
    <row r="31" spans="1:9" x14ac:dyDescent="0.3">
      <c r="A31" s="2">
        <v>5</v>
      </c>
      <c r="B31" s="3">
        <f t="shared" si="4"/>
        <v>0.44400000000000006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EF463-A891-452A-95C3-1281A1127C9B}">
  <dimension ref="A1:N29"/>
  <sheetViews>
    <sheetView tabSelected="1" workbookViewId="0">
      <selection activeCell="B35" sqref="B35"/>
    </sheetView>
  </sheetViews>
  <sheetFormatPr defaultRowHeight="14.4" x14ac:dyDescent="0.3"/>
  <cols>
    <col min="1" max="1" width="33.21875" customWidth="1"/>
    <col min="6" max="6" width="11" bestFit="1" customWidth="1"/>
  </cols>
  <sheetData>
    <row r="1" spans="1:6" x14ac:dyDescent="0.3">
      <c r="A1" t="s">
        <v>27</v>
      </c>
      <c r="B1">
        <v>50</v>
      </c>
      <c r="C1">
        <v>50</v>
      </c>
      <c r="D1">
        <v>50</v>
      </c>
      <c r="E1">
        <v>50</v>
      </c>
    </row>
    <row r="2" spans="1:6" x14ac:dyDescent="0.3">
      <c r="A2" t="s">
        <v>0</v>
      </c>
      <c r="B2">
        <v>95</v>
      </c>
      <c r="C2">
        <v>98</v>
      </c>
      <c r="D2">
        <v>92</v>
      </c>
      <c r="E2">
        <v>96</v>
      </c>
    </row>
    <row r="3" spans="1:6" x14ac:dyDescent="0.3">
      <c r="A3" t="s">
        <v>23</v>
      </c>
      <c r="B3">
        <v>0.9569061671288086</v>
      </c>
      <c r="C3">
        <v>0.99365740440918027</v>
      </c>
      <c r="D3">
        <v>0.93361871462636692</v>
      </c>
      <c r="E3">
        <v>0.94023072108706618</v>
      </c>
    </row>
    <row r="4" spans="1:6" x14ac:dyDescent="0.3">
      <c r="A4" t="s">
        <v>22</v>
      </c>
      <c r="B4">
        <v>50</v>
      </c>
      <c r="C4">
        <v>50</v>
      </c>
      <c r="D4">
        <v>50</v>
      </c>
      <c r="E4">
        <v>50</v>
      </c>
    </row>
    <row r="5" spans="1:6" x14ac:dyDescent="0.3">
      <c r="A5" t="s">
        <v>26</v>
      </c>
      <c r="B5">
        <f>(100-B4)*(B$2/100)*B$1/100</f>
        <v>23.75</v>
      </c>
      <c r="C5">
        <f t="shared" ref="C5:E5" si="0">(100-C4)*(C$2/100)*C$1/100</f>
        <v>24.5</v>
      </c>
      <c r="D5">
        <f t="shared" si="0"/>
        <v>23</v>
      </c>
      <c r="E5">
        <f t="shared" si="0"/>
        <v>24</v>
      </c>
      <c r="F5">
        <f>MAX(B5:E5)</f>
        <v>24.5</v>
      </c>
    </row>
    <row r="6" spans="1:6" x14ac:dyDescent="0.3">
      <c r="A6" t="s">
        <v>24</v>
      </c>
      <c r="B6">
        <f>-(B5-$F$5)/$F$5</f>
        <v>3.0612244897959183E-2</v>
      </c>
      <c r="C6">
        <f t="shared" ref="C6:E6" si="1">-(C5-$F$5)/$F$5</f>
        <v>0</v>
      </c>
      <c r="D6">
        <f t="shared" si="1"/>
        <v>6.1224489795918366E-2</v>
      </c>
      <c r="E6">
        <f t="shared" si="1"/>
        <v>2.0408163265306121E-2</v>
      </c>
      <c r="F6" t="s">
        <v>25</v>
      </c>
    </row>
    <row r="8" spans="1:6" x14ac:dyDescent="0.3">
      <c r="B8">
        <v>95</v>
      </c>
      <c r="C8">
        <v>95</v>
      </c>
      <c r="D8">
        <v>95</v>
      </c>
      <c r="E8">
        <v>95</v>
      </c>
    </row>
    <row r="9" spans="1:6" x14ac:dyDescent="0.3">
      <c r="B9">
        <f>(100-B8)*(B$2/100)*B$1/100</f>
        <v>2.375</v>
      </c>
      <c r="C9">
        <f t="shared" ref="C9" si="2">(100-C8)*(C$2/100)*C$1/100</f>
        <v>2.4500000000000002</v>
      </c>
      <c r="D9">
        <f t="shared" ref="D9" si="3">(100-D8)*(D$2/100)*D$1/100</f>
        <v>2.3000000000000003</v>
      </c>
      <c r="E9">
        <f t="shared" ref="E9" si="4">(100-E8)*(E$2/100)*E$1/100</f>
        <v>2.4</v>
      </c>
      <c r="F9">
        <f>MAX(B9:E9)</f>
        <v>2.4500000000000002</v>
      </c>
    </row>
    <row r="10" spans="1:6" x14ac:dyDescent="0.3">
      <c r="B10">
        <f>-(B9-$F$9)/$F$5</f>
        <v>3.0612244897959256E-3</v>
      </c>
      <c r="C10">
        <f t="shared" ref="C10:E10" si="5">-(C9-$F$9)/$F$5</f>
        <v>0</v>
      </c>
      <c r="D10">
        <f t="shared" si="5"/>
        <v>6.122448979591833E-3</v>
      </c>
      <c r="E10">
        <f t="shared" si="5"/>
        <v>2.0408163265306233E-3</v>
      </c>
      <c r="F10" t="s">
        <v>25</v>
      </c>
    </row>
    <row r="13" spans="1:6" x14ac:dyDescent="0.3">
      <c r="A13" t="s">
        <v>28</v>
      </c>
    </row>
    <row r="14" spans="1:6" x14ac:dyDescent="0.3">
      <c r="A14" t="s">
        <v>32</v>
      </c>
      <c r="B14">
        <f>B1*B2/100</f>
        <v>47.5</v>
      </c>
      <c r="C14">
        <f t="shared" ref="C14:E14" si="6">C1*C2/100</f>
        <v>49</v>
      </c>
      <c r="D14">
        <f t="shared" si="6"/>
        <v>46</v>
      </c>
      <c r="E14">
        <f t="shared" si="6"/>
        <v>48</v>
      </c>
    </row>
    <row r="15" spans="1:6" x14ac:dyDescent="0.3">
      <c r="A15" t="s">
        <v>29</v>
      </c>
      <c r="B15">
        <f>B3*(B2/100)*B1</f>
        <v>45.453042938618403</v>
      </c>
      <c r="C15">
        <f t="shared" ref="C15:E15" si="7">C3*(C2/100)*C1</f>
        <v>48.689212816049832</v>
      </c>
      <c r="D15">
        <f t="shared" si="7"/>
        <v>42.946460872812878</v>
      </c>
      <c r="E15">
        <f t="shared" si="7"/>
        <v>45.131074612179169</v>
      </c>
      <c r="F15" s="4">
        <f>MIN(B15:E15)</f>
        <v>42.946460872812878</v>
      </c>
    </row>
    <row r="16" spans="1:6" x14ac:dyDescent="0.3">
      <c r="A16" t="s">
        <v>30</v>
      </c>
      <c r="B16" s="5">
        <f>1-(1-($F15/B15))/2</f>
        <v>0.97242668583057779</v>
      </c>
      <c r="C16" s="5">
        <f t="shared" ref="C16:E16" si="8">1-(1-($F15/C15))/2</f>
        <v>0.9410264449649931</v>
      </c>
      <c r="D16" s="5">
        <f t="shared" si="8"/>
        <v>1</v>
      </c>
      <c r="E16" s="5">
        <f t="shared" si="8"/>
        <v>0.97579701172485767</v>
      </c>
    </row>
    <row r="17" spans="1:14" x14ac:dyDescent="0.3">
      <c r="A17" t="s">
        <v>31</v>
      </c>
      <c r="B17" s="3">
        <f>((B15*B16-$F17)/B3)/(B1*(B2/100))</f>
        <v>2.8595487159591815E-2</v>
      </c>
      <c r="C17" s="3">
        <f t="shared" ref="C17:E17" si="9">((C15*C16-$F17)/C3)/(C1*(C2/100))</f>
        <v>5.9927788429340254E-2</v>
      </c>
      <c r="D17" s="3">
        <f t="shared" si="9"/>
        <v>1.0818323994257553E-3</v>
      </c>
      <c r="E17" s="3">
        <f t="shared" si="9"/>
        <v>2.5232453520810053E-2</v>
      </c>
      <c r="F17">
        <v>42.9</v>
      </c>
    </row>
    <row r="19" spans="1:14" x14ac:dyDescent="0.3">
      <c r="A19" t="s">
        <v>22</v>
      </c>
      <c r="B19" s="3">
        <v>0.2</v>
      </c>
      <c r="C19" s="3">
        <v>0.2</v>
      </c>
      <c r="D19" s="3">
        <v>0.2</v>
      </c>
      <c r="E19" s="3">
        <v>0.2</v>
      </c>
    </row>
    <row r="20" spans="1:14" x14ac:dyDescent="0.3">
      <c r="A20" t="s">
        <v>33</v>
      </c>
      <c r="B20">
        <f>(B16-B19)*B14</f>
        <v>36.690267576952444</v>
      </c>
      <c r="C20">
        <f t="shared" ref="C20:E20" si="10">(C16-C19)*C14</f>
        <v>36.31029580328466</v>
      </c>
      <c r="D20">
        <f t="shared" si="10"/>
        <v>36.800000000000004</v>
      </c>
      <c r="E20">
        <f t="shared" si="10"/>
        <v>37.238256562793168</v>
      </c>
      <c r="F20">
        <f>MAX(B20:E20)</f>
        <v>37.238256562793168</v>
      </c>
    </row>
    <row r="21" spans="1:14" x14ac:dyDescent="0.3">
      <c r="A21" t="s">
        <v>34</v>
      </c>
      <c r="B21" s="6">
        <f>-(B20-$F$20)/$F$20</f>
        <v>1.4715753003008505E-2</v>
      </c>
      <c r="C21" s="6">
        <f t="shared" ref="C21:E21" si="11">-(C20-$F$20)/$F$20</f>
        <v>2.4919554382029953E-2</v>
      </c>
      <c r="D21" s="6">
        <f t="shared" si="11"/>
        <v>1.1768987145092362E-2</v>
      </c>
      <c r="E21" s="6">
        <f t="shared" si="11"/>
        <v>0</v>
      </c>
      <c r="M21" t="s">
        <v>39</v>
      </c>
      <c r="N21" t="s">
        <v>40</v>
      </c>
    </row>
    <row r="22" spans="1:14" x14ac:dyDescent="0.3">
      <c r="M22">
        <f>77</f>
        <v>77</v>
      </c>
      <c r="N22">
        <f>0.18*M22</f>
        <v>13.86</v>
      </c>
    </row>
    <row r="24" spans="1:14" ht="28.8" x14ac:dyDescent="0.3">
      <c r="A24" s="2" t="s">
        <v>35</v>
      </c>
      <c r="B24">
        <v>0.01</v>
      </c>
      <c r="C24" t="s">
        <v>38</v>
      </c>
    </row>
    <row r="25" spans="1:14" x14ac:dyDescent="0.3">
      <c r="A25" t="s">
        <v>36</v>
      </c>
      <c r="B25" s="5">
        <f>MIN(1,1-(B15-(1+$B$24)*$F15)/B15)</f>
        <v>0.95430190537776727</v>
      </c>
      <c r="C25" s="5">
        <f t="shared" ref="C25:E25" si="12">MIN(1,1-(C15-(1+$B$24)*$F15)/C15)</f>
        <v>0.89087341882928617</v>
      </c>
      <c r="D25" s="5">
        <f t="shared" si="12"/>
        <v>1</v>
      </c>
      <c r="E25" s="5">
        <f t="shared" si="12"/>
        <v>0.96110996368421264</v>
      </c>
    </row>
    <row r="27" spans="1:14" ht="86.4" x14ac:dyDescent="0.3">
      <c r="A27" s="2" t="s">
        <v>37</v>
      </c>
      <c r="L27">
        <f>2.75/2</f>
        <v>1.375</v>
      </c>
      <c r="N27">
        <v>2</v>
      </c>
    </row>
    <row r="28" spans="1:14" x14ac:dyDescent="0.3">
      <c r="L28">
        <f>L27*1.18</f>
        <v>1.6224999999999998</v>
      </c>
      <c r="N28">
        <f>1.18*N27</f>
        <v>2.36</v>
      </c>
    </row>
    <row r="29" spans="1:14" x14ac:dyDescent="0.3">
      <c r="L29">
        <f>SUM(L27:L28)</f>
        <v>2.9974999999999996</v>
      </c>
      <c r="N29">
        <f>N27+N28</f>
        <v>4.3599999999999994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Gupta</dc:creator>
  <cp:lastModifiedBy>Rajesh Gupta</cp:lastModifiedBy>
  <dcterms:created xsi:type="dcterms:W3CDTF">2025-04-02T08:32:45Z</dcterms:created>
  <dcterms:modified xsi:type="dcterms:W3CDTF">2025-04-17T13:44:14Z</dcterms:modified>
</cp:coreProperties>
</file>